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kangkung-peta\kangkung-peta\"/>
    </mc:Choice>
  </mc:AlternateContent>
  <xr:revisionPtr revIDLastSave="0" documentId="13_ncr:1_{0107319D-6A6A-4EFE-9B1B-5E74D73A0819}" xr6:coauthVersionLast="47" xr6:coauthVersionMax="47" xr10:uidLastSave="{00000000-0000-0000-0000-000000000000}"/>
  <bookViews>
    <workbookView xWindow="-108" yWindow="-108" windowWidth="23256" windowHeight="13176" firstSheet="5" activeTab="5" xr2:uid="{00000000-000D-0000-FFFF-FFFF00000000}"/>
  </bookViews>
  <sheets>
    <sheet name="Data Mutasi" sheetId="4" r:id="rId1"/>
    <sheet name="MENURUT UMUR" sheetId="12" r:id="rId2"/>
    <sheet name="MATA PENCAHARIAN" sheetId="13" r:id="rId3"/>
    <sheet name="SARANA DAN PRASARANA" sheetId="14" r:id="rId4"/>
    <sheet name="DATA KASUS" sheetId="15" r:id="rId5"/>
    <sheet name="DATA PENGELOLA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4" l="1"/>
  <c r="S8" i="4"/>
  <c r="T8" i="4"/>
  <c r="R9" i="4"/>
  <c r="S9" i="4"/>
  <c r="T9" i="4"/>
  <c r="R10" i="4"/>
  <c r="S10" i="4"/>
  <c r="T10" i="4"/>
  <c r="R11" i="4"/>
  <c r="S11" i="4"/>
  <c r="T11" i="4"/>
  <c r="R12" i="4"/>
  <c r="S12" i="4"/>
  <c r="T12" i="4"/>
  <c r="P13" i="4"/>
  <c r="Q13" i="4"/>
  <c r="O20" i="13"/>
  <c r="N20" i="13"/>
  <c r="M20" i="13"/>
  <c r="L20" i="13"/>
  <c r="K20" i="13"/>
  <c r="J20" i="13"/>
  <c r="I20" i="13"/>
  <c r="H20" i="13"/>
  <c r="G20" i="13"/>
  <c r="F20" i="13"/>
  <c r="D10" i="13"/>
  <c r="D11" i="13"/>
  <c r="D12" i="13"/>
  <c r="D13" i="13"/>
  <c r="D14" i="13"/>
  <c r="D15" i="13"/>
  <c r="D16" i="13"/>
  <c r="D17" i="13"/>
  <c r="D18" i="13"/>
  <c r="D19" i="13"/>
  <c r="D9" i="13"/>
  <c r="C10" i="13"/>
  <c r="C11" i="13"/>
  <c r="E11" i="13" s="1"/>
  <c r="C12" i="13"/>
  <c r="C13" i="13"/>
  <c r="E13" i="13" s="1"/>
  <c r="C14" i="13"/>
  <c r="C15" i="13"/>
  <c r="C16" i="13"/>
  <c r="C17" i="13"/>
  <c r="C18" i="13"/>
  <c r="C19" i="13"/>
  <c r="C9" i="13"/>
  <c r="E8" i="12"/>
  <c r="E9" i="12"/>
  <c r="E10" i="12"/>
  <c r="E11" i="12"/>
  <c r="E12" i="12"/>
  <c r="E13" i="12"/>
  <c r="E14" i="12"/>
  <c r="E15" i="12"/>
  <c r="E16" i="12"/>
  <c r="E17" i="12"/>
  <c r="E18" i="12"/>
  <c r="E19" i="12"/>
  <c r="C8" i="12"/>
  <c r="C9" i="12"/>
  <c r="G9" i="12" s="1"/>
  <c r="C10" i="12"/>
  <c r="G10" i="12" s="1"/>
  <c r="C11" i="12"/>
  <c r="G11" i="12" s="1"/>
  <c r="C12" i="12"/>
  <c r="G12" i="12" s="1"/>
  <c r="C13" i="12"/>
  <c r="G13" i="12" s="1"/>
  <c r="C14" i="12"/>
  <c r="G14" i="12" s="1"/>
  <c r="C15" i="12"/>
  <c r="G15" i="12" s="1"/>
  <c r="C16" i="12"/>
  <c r="G16" i="12" s="1"/>
  <c r="C17" i="12"/>
  <c r="G17" i="12" s="1"/>
  <c r="C18" i="12"/>
  <c r="G18" i="12" s="1"/>
  <c r="C19" i="12"/>
  <c r="G19" i="12" s="1"/>
  <c r="E7" i="12"/>
  <c r="C7" i="12"/>
  <c r="N13" i="4"/>
  <c r="M13" i="4"/>
  <c r="K13" i="4"/>
  <c r="J13" i="4"/>
  <c r="H13" i="4"/>
  <c r="G13" i="4"/>
  <c r="E13" i="4"/>
  <c r="D13" i="4"/>
  <c r="S13" i="4" s="1"/>
  <c r="C13" i="4"/>
  <c r="O12" i="4"/>
  <c r="L12" i="4"/>
  <c r="I12" i="4"/>
  <c r="F12" i="4"/>
  <c r="O11" i="4"/>
  <c r="L11" i="4"/>
  <c r="I11" i="4"/>
  <c r="F11" i="4"/>
  <c r="O10" i="4"/>
  <c r="L10" i="4"/>
  <c r="I10" i="4"/>
  <c r="F10" i="4"/>
  <c r="O9" i="4"/>
  <c r="L9" i="4"/>
  <c r="I9" i="4"/>
  <c r="F9" i="4"/>
  <c r="U8" i="4"/>
  <c r="O8" i="4"/>
  <c r="L8" i="4"/>
  <c r="I8" i="4"/>
  <c r="F8" i="4"/>
  <c r="U12" i="4" l="1"/>
  <c r="D20" i="13"/>
  <c r="T13" i="4"/>
  <c r="R13" i="4"/>
  <c r="I13" i="4"/>
  <c r="E18" i="13"/>
  <c r="E16" i="13"/>
  <c r="E12" i="13"/>
  <c r="E10" i="13"/>
  <c r="E9" i="13"/>
  <c r="E14" i="13"/>
  <c r="E19" i="13"/>
  <c r="E17" i="13"/>
  <c r="E15" i="13"/>
  <c r="C20" i="13"/>
  <c r="G7" i="12"/>
  <c r="E20" i="12"/>
  <c r="C20" i="12"/>
  <c r="G8" i="12"/>
  <c r="U11" i="4"/>
  <c r="L13" i="4"/>
  <c r="O13" i="4"/>
  <c r="U10" i="4"/>
  <c r="U9" i="4"/>
  <c r="F13" i="4"/>
  <c r="G20" i="12" l="1"/>
  <c r="U13" i="4"/>
  <c r="E20" i="13"/>
</calcChain>
</file>

<file path=xl/sharedStrings.xml><?xml version="1.0" encoding="utf-8"?>
<sst xmlns="http://schemas.openxmlformats.org/spreadsheetml/2006/main" count="204" uniqueCount="108">
  <si>
    <t>NO</t>
  </si>
  <si>
    <t>JUMLAH KK</t>
  </si>
  <si>
    <t>PENDUDUK AWAL BULAN INI</t>
  </si>
  <si>
    <t>LAHIR BULAN INI</t>
  </si>
  <si>
    <t>PINDAH BULAN INI</t>
  </si>
  <si>
    <t>LK</t>
  </si>
  <si>
    <t>PR</t>
  </si>
  <si>
    <t>LK + PR</t>
  </si>
  <si>
    <t>JUMLAH</t>
  </si>
  <si>
    <t>MATI BULAN INI</t>
  </si>
  <si>
    <t>DATANG BULAN INI</t>
  </si>
  <si>
    <t>LAPORAN KEPENDUDUKAN</t>
  </si>
  <si>
    <t>PENDUDUK AKHIR BULAN INI</t>
  </si>
  <si>
    <t>KELURAHAN</t>
  </si>
  <si>
    <t>KANGKUNG</t>
  </si>
  <si>
    <t>BUMI WARAS</t>
  </si>
  <si>
    <t>BUMI RAYA</t>
  </si>
  <si>
    <t>SUKARAJA</t>
  </si>
  <si>
    <t>GARUNTANG</t>
  </si>
  <si>
    <t>KECAMATAN BUMI WARAS KOTA BANDAR LAMPUNG</t>
  </si>
  <si>
    <t>CAMAT BUMI WARAS</t>
  </si>
  <si>
    <t>LAKI-LAKI</t>
  </si>
  <si>
    <t>%</t>
  </si>
  <si>
    <t>PEREMPUAN</t>
  </si>
  <si>
    <t>( JIWA 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</si>
  <si>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</si>
  <si>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</si>
  <si>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</si>
  <si>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</si>
  <si>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</si>
  <si>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</si>
  <si>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</si>
  <si>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</si>
  <si>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</si>
  <si>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</si>
  <si>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</si>
  <si>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</si>
  <si>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60+</t>
  </si>
  <si>
    <t xml:space="preserve">           JUMLAH</t>
  </si>
  <si>
    <t>ASN</t>
  </si>
  <si>
    <t>BURUH HARIAN LEPAS</t>
  </si>
  <si>
    <t>NELAYAN</t>
  </si>
  <si>
    <t>WIRASWASTA</t>
  </si>
  <si>
    <t>PEDAGANG</t>
  </si>
  <si>
    <t>POLISI</t>
  </si>
  <si>
    <t>TNI</t>
  </si>
  <si>
    <t>KARYAWAN SWASTA</t>
  </si>
  <si>
    <t>PETANI</t>
  </si>
  <si>
    <t>PENSIUNAN</t>
  </si>
  <si>
    <t>LAIN -LAIN</t>
  </si>
  <si>
    <t>JENIS KELAMIN</t>
  </si>
  <si>
    <t>JUMLAH (JIWA)</t>
  </si>
  <si>
    <t>KELOMPOK UMUR (TAHUN)</t>
  </si>
  <si>
    <t>KKG</t>
  </si>
  <si>
    <t>BW</t>
  </si>
  <si>
    <t>BR</t>
  </si>
  <si>
    <t>SKJ</t>
  </si>
  <si>
    <t>GRT</t>
  </si>
  <si>
    <t>MATA PENCAHARIAN</t>
  </si>
  <si>
    <t>RINCIAN PER KELURAHAN</t>
  </si>
  <si>
    <t>JUMLAH SE KECAMATAN</t>
  </si>
  <si>
    <t>JUMLAH PENDUDUK MENURUT MATA PENCAHARIAN KECAMATAN BUMI WARAS TAHUN 2024</t>
  </si>
  <si>
    <t>TAHUN 2024</t>
  </si>
  <si>
    <t>RUANG LAKTASI</t>
  </si>
  <si>
    <t>RUANG BERMAIN / PENITIPAN ANAK</t>
  </si>
  <si>
    <t>TOILET TERPISAH LAKI LAKI DAN PEREMPUAN</t>
  </si>
  <si>
    <t>KECAMATAN BUMI WARAS</t>
  </si>
  <si>
    <t>ADA</t>
  </si>
  <si>
    <t>TIDAK ADA</t>
  </si>
  <si>
    <t>SARANA DAN PRASARANA PENUNJANG RESPONSIF GENDER KECAMATAN BUMI WARAS</t>
  </si>
  <si>
    <t xml:space="preserve">SARANA DAN PRASARANA  </t>
  </si>
  <si>
    <t>HARI</t>
  </si>
  <si>
    <t>TANGGAL KEJADIAN</t>
  </si>
  <si>
    <t>JENIS KASUS</t>
  </si>
  <si>
    <t>USIA</t>
  </si>
  <si>
    <t>PENDIDIKAN</t>
  </si>
  <si>
    <t>PEKERJAAN</t>
  </si>
  <si>
    <t>ALAMAT</t>
  </si>
  <si>
    <t>NAMA PELAKU</t>
  </si>
  <si>
    <t>PROSES TINDAKAN</t>
  </si>
  <si>
    <t>KET</t>
  </si>
  <si>
    <t>DATA KASUS KEKERASAN TERHADAP ANAK DAN PEREMPUAN KECAMATAN BUMI WARAS TAHUN 2024</t>
  </si>
  <si>
    <t>NAMA</t>
  </si>
  <si>
    <t>KETERANGAN</t>
  </si>
  <si>
    <t>L</t>
  </si>
  <si>
    <t>P</t>
  </si>
  <si>
    <t>PETUGAS ATAU PENGELOLA DATA DIKECAMATAN BUMI WARAS TAHUN 2025</t>
  </si>
  <si>
    <t>ANGGA PRATAMA</t>
  </si>
  <si>
    <t>√</t>
  </si>
  <si>
    <t>PENGELOLA DATA KEPENDUDUKAN</t>
  </si>
  <si>
    <t>ANTI TRI MULYANI</t>
  </si>
  <si>
    <t>ERWIN ARDIANSYAH</t>
  </si>
  <si>
    <t>PENGELOLA DATA KEPEGAWAIAN</t>
  </si>
  <si>
    <t>PENGELOLA DATA BANTUAN BERAS</t>
  </si>
  <si>
    <t>RESTI WIJIANTI</t>
  </si>
  <si>
    <t>PENGELOLA DATA PEMBERDAYAAN</t>
  </si>
  <si>
    <t>Bandar Lampung,      Juni 2025</t>
  </si>
  <si>
    <t>BUDI ARDIYANTO, ST.,MM</t>
  </si>
  <si>
    <t>NIP . 19811229 201001 1 006</t>
  </si>
  <si>
    <t>PENGELOLA DATA TRANTIB</t>
  </si>
  <si>
    <t>Bandar Lampung,     Juni 2025</t>
  </si>
  <si>
    <t>NIP.19811229 201001 1 006</t>
  </si>
  <si>
    <t>Bandar Lampung,    Juni 2025</t>
  </si>
  <si>
    <t>BUDI ARDIYANTO,ST.,MM</t>
  </si>
  <si>
    <t>Bandar Lampung,   Juni 2025</t>
  </si>
  <si>
    <t>JUMLAH PENDUDUK KECAMATAN BUMI WARAS MENURUT UMUR TAHUN 2024</t>
  </si>
  <si>
    <t>BUDI ARDIYANTO.,ST.,MM</t>
  </si>
  <si>
    <t>ALDIAN HERNANDI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</si>
</sst>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8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/>
    <xf numFmtId="0" fontId="0" fillId="0" borderId="19" xfId="0" applyBorder="1"/>
    <xf numFmtId="0" fontId="1" fillId="0" borderId="1" xfId="0" applyFont="1" applyBorder="1"/>
    <xf numFmtId="3" fontId="1" fillId="0" borderId="4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1" fillId="0" borderId="27" xfId="0" applyFont="1" applyBorder="1"/>
    <xf numFmtId="0" fontId="1" fillId="0" borderId="28" xfId="0" applyFont="1" applyBorder="1"/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1" xfId="0" applyNumberFormat="1" applyBorder="1"/>
    <xf numFmtId="16" fontId="0" fillId="0" borderId="1" xfId="0" quotePrefix="1" applyNumberFormat="1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9" fontId="0" fillId="0" borderId="4" xfId="0" applyNumberFormat="1" applyBorder="1"/>
    <xf numFmtId="0" fontId="5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2"/>
  <sheetViews>
    <sheetView zoomScale="90" zoomScaleNormal="90" workbookViewId="0">
      <selection activeCell="W26" sqref="A1:W26"/>
    </sheetView>
  </sheetViews>
  <sheetFormatPr defaultRowHeight="14.4" x14ac:dyDescent="0.3"/>
  <cols>
    <col min="1" max="1" width="5.44140625" style="5" customWidth="1"/>
    <col min="2" max="2" width="14.6640625" customWidth="1"/>
    <col min="3" max="3" width="8" style="1" customWidth="1"/>
    <col min="4" max="6" width="9.109375" style="1"/>
  </cols>
  <sheetData>
    <row r="2" spans="1:21" ht="17.399999999999999" x14ac:dyDescent="0.35">
      <c r="A2" s="68" t="s">
        <v>11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3" spans="1:21" ht="17.399999999999999" x14ac:dyDescent="0.35">
      <c r="A3" s="68" t="s">
        <v>19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</row>
    <row r="4" spans="1:21" ht="15" thickBot="1" x14ac:dyDescent="0.35">
      <c r="B4" s="69" t="s">
        <v>62</v>
      </c>
      <c r="C4" s="69"/>
      <c r="D4" s="69"/>
      <c r="E4" s="69"/>
      <c r="F4" s="69"/>
      <c r="G4" s="69"/>
      <c r="H4" s="69"/>
      <c r="I4" s="69"/>
    </row>
    <row r="5" spans="1:21" s="1" customFormat="1" ht="35.1" customHeight="1" x14ac:dyDescent="0.3">
      <c r="A5" s="70" t="s">
        <v>0</v>
      </c>
      <c r="B5" s="72" t="s">
        <v>13</v>
      </c>
      <c r="C5" s="74" t="s">
        <v>1</v>
      </c>
      <c r="D5" s="76" t="s">
        <v>2</v>
      </c>
      <c r="E5" s="77"/>
      <c r="F5" s="78"/>
      <c r="G5" s="76" t="s">
        <v>3</v>
      </c>
      <c r="H5" s="77"/>
      <c r="I5" s="78"/>
      <c r="J5" s="76" t="s">
        <v>9</v>
      </c>
      <c r="K5" s="77"/>
      <c r="L5" s="78"/>
      <c r="M5" s="76" t="s">
        <v>10</v>
      </c>
      <c r="N5" s="77"/>
      <c r="O5" s="78"/>
      <c r="P5" s="61" t="s">
        <v>4</v>
      </c>
      <c r="Q5" s="62"/>
      <c r="R5" s="63"/>
      <c r="S5" s="61" t="s">
        <v>12</v>
      </c>
      <c r="T5" s="62"/>
      <c r="U5" s="63"/>
    </row>
    <row r="6" spans="1:21" s="1" customFormat="1" ht="21" customHeight="1" x14ac:dyDescent="0.3">
      <c r="A6" s="71"/>
      <c r="B6" s="73"/>
      <c r="C6" s="75"/>
      <c r="D6" s="34" t="s">
        <v>5</v>
      </c>
      <c r="E6" s="35" t="s">
        <v>6</v>
      </c>
      <c r="F6" s="36" t="s">
        <v>7</v>
      </c>
      <c r="G6" s="34" t="s">
        <v>5</v>
      </c>
      <c r="H6" s="35" t="s">
        <v>6</v>
      </c>
      <c r="I6" s="36" t="s">
        <v>7</v>
      </c>
      <c r="J6" s="34" t="s">
        <v>5</v>
      </c>
      <c r="K6" s="35" t="s">
        <v>6</v>
      </c>
      <c r="L6" s="36" t="s">
        <v>7</v>
      </c>
      <c r="M6" s="34" t="s">
        <v>5</v>
      </c>
      <c r="N6" s="35" t="s">
        <v>6</v>
      </c>
      <c r="O6" s="36" t="s">
        <v>7</v>
      </c>
      <c r="P6" s="34" t="s">
        <v>5</v>
      </c>
      <c r="Q6" s="35" t="s">
        <v>6</v>
      </c>
      <c r="R6" s="36" t="s">
        <v>7</v>
      </c>
      <c r="S6" s="34" t="s">
        <v>5</v>
      </c>
      <c r="T6" s="35" t="s">
        <v>6</v>
      </c>
      <c r="U6" s="36" t="s">
        <v>7</v>
      </c>
    </row>
    <row r="7" spans="1:21" s="3" customFormat="1" ht="9.75" customHeight="1" x14ac:dyDescent="0.3">
      <c r="A7" s="41">
        <v>1</v>
      </c>
      <c r="B7" s="42">
        <v>2</v>
      </c>
      <c r="C7" s="43">
        <v>3</v>
      </c>
      <c r="D7" s="41">
        <v>4</v>
      </c>
      <c r="E7" s="42">
        <v>5</v>
      </c>
      <c r="F7" s="43">
        <v>6</v>
      </c>
      <c r="G7" s="41">
        <v>7</v>
      </c>
      <c r="H7" s="42">
        <v>8</v>
      </c>
      <c r="I7" s="43">
        <v>9</v>
      </c>
      <c r="J7" s="41">
        <v>10</v>
      </c>
      <c r="K7" s="42">
        <v>11</v>
      </c>
      <c r="L7" s="43">
        <v>12</v>
      </c>
      <c r="M7" s="41">
        <v>13</v>
      </c>
      <c r="N7" s="42">
        <v>14</v>
      </c>
      <c r="O7" s="43">
        <v>15</v>
      </c>
      <c r="P7" s="41">
        <v>16</v>
      </c>
      <c r="Q7" s="42">
        <v>17</v>
      </c>
      <c r="R7" s="43">
        <v>18</v>
      </c>
      <c r="S7" s="41">
        <v>19</v>
      </c>
      <c r="T7" s="42">
        <v>20</v>
      </c>
      <c r="U7" s="43">
        <v>21</v>
      </c>
    </row>
    <row r="8" spans="1:21" ht="35.1" customHeight="1" x14ac:dyDescent="0.3">
      <c r="A8" s="34">
        <v>1</v>
      </c>
      <c r="B8" s="37" t="s">
        <v>14</v>
      </c>
      <c r="C8" s="36">
        <v>3643</v>
      </c>
      <c r="D8" s="34">
        <v>5894</v>
      </c>
      <c r="E8" s="35">
        <v>6925</v>
      </c>
      <c r="F8" s="36">
        <f>SUM(D8:E8)</f>
        <v>12819</v>
      </c>
      <c r="G8" s="34">
        <v>110</v>
      </c>
      <c r="H8" s="35">
        <v>64</v>
      </c>
      <c r="I8" s="36">
        <f>SUM(G8:H8)</f>
        <v>174</v>
      </c>
      <c r="J8" s="34">
        <v>135</v>
      </c>
      <c r="K8" s="35">
        <v>68</v>
      </c>
      <c r="L8" s="36">
        <f>SUM(J8:K8)</f>
        <v>203</v>
      </c>
      <c r="M8" s="34">
        <v>102</v>
      </c>
      <c r="N8" s="35">
        <v>86</v>
      </c>
      <c r="O8" s="36">
        <f>SUM(M8:N8)</f>
        <v>188</v>
      </c>
      <c r="P8" s="34">
        <v>123</v>
      </c>
      <c r="Q8" s="35">
        <v>107</v>
      </c>
      <c r="R8" s="36">
        <f>SUM(P8:Q8)</f>
        <v>230</v>
      </c>
      <c r="S8" s="34">
        <f>D8+G8-J8+M8-P8</f>
        <v>5848</v>
      </c>
      <c r="T8" s="35">
        <f>E8+H8-K8+N8-Q8</f>
        <v>6900</v>
      </c>
      <c r="U8" s="36">
        <f>SUM(S8:T8)</f>
        <v>12748</v>
      </c>
    </row>
    <row r="9" spans="1:21" ht="35.1" customHeight="1" x14ac:dyDescent="0.3">
      <c r="A9" s="34">
        <v>2</v>
      </c>
      <c r="B9" s="37" t="s">
        <v>15</v>
      </c>
      <c r="C9" s="36">
        <v>4050</v>
      </c>
      <c r="D9" s="34">
        <v>6966</v>
      </c>
      <c r="E9" s="35">
        <v>6958</v>
      </c>
      <c r="F9" s="36">
        <f t="shared" ref="F9:F10" si="0">SUM(D9:E9)</f>
        <v>13924</v>
      </c>
      <c r="G9" s="34">
        <v>30</v>
      </c>
      <c r="H9" s="35">
        <v>52</v>
      </c>
      <c r="I9" s="36">
        <f t="shared" ref="I9:I12" si="1">SUM(G9:H9)</f>
        <v>82</v>
      </c>
      <c r="J9" s="34">
        <v>58</v>
      </c>
      <c r="K9" s="35">
        <v>44</v>
      </c>
      <c r="L9" s="36">
        <f t="shared" ref="L9:L12" si="2">SUM(J9:K9)</f>
        <v>102</v>
      </c>
      <c r="M9" s="34">
        <v>60</v>
      </c>
      <c r="N9" s="35">
        <v>49</v>
      </c>
      <c r="O9" s="36">
        <f t="shared" ref="O9:O12" si="3">SUM(M9:N9)</f>
        <v>109</v>
      </c>
      <c r="P9" s="34">
        <v>56</v>
      </c>
      <c r="Q9" s="35">
        <v>62</v>
      </c>
      <c r="R9" s="36">
        <f t="shared" ref="R9:R12" si="4">SUM(P9:Q9)</f>
        <v>118</v>
      </c>
      <c r="S9" s="34">
        <f t="shared" ref="S9:T13" si="5">D9+G9-J9+M9-P9</f>
        <v>6942</v>
      </c>
      <c r="T9" s="35">
        <f t="shared" si="5"/>
        <v>6953</v>
      </c>
      <c r="U9" s="36">
        <f>SUM(S9:T9)</f>
        <v>13895</v>
      </c>
    </row>
    <row r="10" spans="1:21" ht="35.1" customHeight="1" x14ac:dyDescent="0.3">
      <c r="A10" s="34">
        <v>3</v>
      </c>
      <c r="B10" s="37" t="s">
        <v>16</v>
      </c>
      <c r="C10" s="36">
        <v>1423</v>
      </c>
      <c r="D10" s="34">
        <v>2715</v>
      </c>
      <c r="E10" s="35">
        <v>2474</v>
      </c>
      <c r="F10" s="36">
        <f t="shared" si="0"/>
        <v>5189</v>
      </c>
      <c r="G10" s="34">
        <v>6</v>
      </c>
      <c r="H10" s="35">
        <v>4</v>
      </c>
      <c r="I10" s="36">
        <f t="shared" si="1"/>
        <v>10</v>
      </c>
      <c r="J10" s="34">
        <v>23</v>
      </c>
      <c r="K10" s="35">
        <v>13</v>
      </c>
      <c r="L10" s="36">
        <f t="shared" si="2"/>
        <v>36</v>
      </c>
      <c r="M10" s="34">
        <v>0</v>
      </c>
      <c r="N10" s="35">
        <v>0</v>
      </c>
      <c r="O10" s="36">
        <f t="shared" si="3"/>
        <v>0</v>
      </c>
      <c r="P10" s="34">
        <v>30</v>
      </c>
      <c r="Q10" s="35">
        <v>21</v>
      </c>
      <c r="R10" s="36">
        <f t="shared" si="4"/>
        <v>51</v>
      </c>
      <c r="S10" s="34">
        <f t="shared" si="5"/>
        <v>2668</v>
      </c>
      <c r="T10" s="35">
        <f t="shared" si="5"/>
        <v>2444</v>
      </c>
      <c r="U10" s="36">
        <f>SUM(S10:T10)</f>
        <v>5112</v>
      </c>
    </row>
    <row r="11" spans="1:21" ht="35.1" customHeight="1" x14ac:dyDescent="0.3">
      <c r="A11" s="34">
        <v>4</v>
      </c>
      <c r="B11" s="37" t="s">
        <v>17</v>
      </c>
      <c r="C11" s="36">
        <v>2618</v>
      </c>
      <c r="D11" s="34">
        <v>5276</v>
      </c>
      <c r="E11" s="35">
        <v>5002</v>
      </c>
      <c r="F11" s="36">
        <f>SUM(D11:E11)</f>
        <v>10278</v>
      </c>
      <c r="G11" s="34">
        <v>19</v>
      </c>
      <c r="H11" s="35">
        <v>21</v>
      </c>
      <c r="I11" s="36">
        <f t="shared" si="1"/>
        <v>40</v>
      </c>
      <c r="J11" s="34">
        <v>16</v>
      </c>
      <c r="K11" s="35">
        <v>11</v>
      </c>
      <c r="L11" s="36">
        <f t="shared" si="2"/>
        <v>27</v>
      </c>
      <c r="M11" s="34">
        <v>32</v>
      </c>
      <c r="N11" s="35">
        <v>25</v>
      </c>
      <c r="O11" s="36">
        <f t="shared" si="3"/>
        <v>57</v>
      </c>
      <c r="P11" s="34">
        <v>14</v>
      </c>
      <c r="Q11" s="35">
        <v>8</v>
      </c>
      <c r="R11" s="36">
        <f t="shared" si="4"/>
        <v>22</v>
      </c>
      <c r="S11" s="34">
        <f t="shared" si="5"/>
        <v>5297</v>
      </c>
      <c r="T11" s="35">
        <f t="shared" si="5"/>
        <v>5029</v>
      </c>
      <c r="U11" s="36">
        <f>SUM(S11:T11)</f>
        <v>10326</v>
      </c>
    </row>
    <row r="12" spans="1:21" ht="35.1" customHeight="1" x14ac:dyDescent="0.3">
      <c r="A12" s="34">
        <v>5</v>
      </c>
      <c r="B12" s="37" t="s">
        <v>18</v>
      </c>
      <c r="C12" s="36">
        <v>2200</v>
      </c>
      <c r="D12" s="34">
        <v>3788</v>
      </c>
      <c r="E12" s="35">
        <v>3621</v>
      </c>
      <c r="F12" s="36">
        <f t="shared" ref="F12" si="6">SUM(D12:E12)</f>
        <v>7409</v>
      </c>
      <c r="G12" s="34">
        <v>0</v>
      </c>
      <c r="H12" s="35">
        <v>3</v>
      </c>
      <c r="I12" s="36">
        <f t="shared" si="1"/>
        <v>3</v>
      </c>
      <c r="J12" s="34">
        <v>34</v>
      </c>
      <c r="K12" s="35">
        <v>26</v>
      </c>
      <c r="L12" s="36">
        <f t="shared" si="2"/>
        <v>60</v>
      </c>
      <c r="M12" s="34">
        <v>0</v>
      </c>
      <c r="N12" s="35">
        <v>0</v>
      </c>
      <c r="O12" s="36">
        <f t="shared" si="3"/>
        <v>0</v>
      </c>
      <c r="P12" s="34">
        <v>1</v>
      </c>
      <c r="Q12" s="35">
        <v>2</v>
      </c>
      <c r="R12" s="36">
        <f t="shared" si="4"/>
        <v>3</v>
      </c>
      <c r="S12" s="34">
        <f t="shared" si="5"/>
        <v>3753</v>
      </c>
      <c r="T12" s="35">
        <f t="shared" si="5"/>
        <v>3596</v>
      </c>
      <c r="U12" s="36">
        <f>SUM(S12:T12)</f>
        <v>7349</v>
      </c>
    </row>
    <row r="13" spans="1:21" s="4" customFormat="1" ht="35.1" customHeight="1" thickBot="1" x14ac:dyDescent="0.35">
      <c r="A13" s="64" t="s">
        <v>8</v>
      </c>
      <c r="B13" s="65"/>
      <c r="C13" s="38">
        <f t="shared" ref="C13:N13" si="7">SUM(C8:C12)</f>
        <v>13934</v>
      </c>
      <c r="D13" s="39">
        <f t="shared" si="7"/>
        <v>24639</v>
      </c>
      <c r="E13" s="40">
        <f t="shared" si="7"/>
        <v>24980</v>
      </c>
      <c r="F13" s="38">
        <f t="shared" si="7"/>
        <v>49619</v>
      </c>
      <c r="G13" s="39">
        <f t="shared" si="7"/>
        <v>165</v>
      </c>
      <c r="H13" s="40">
        <f t="shared" si="7"/>
        <v>144</v>
      </c>
      <c r="I13" s="38">
        <f t="shared" si="7"/>
        <v>309</v>
      </c>
      <c r="J13" s="39">
        <f t="shared" si="7"/>
        <v>266</v>
      </c>
      <c r="K13" s="40">
        <f t="shared" si="7"/>
        <v>162</v>
      </c>
      <c r="L13" s="38">
        <f t="shared" si="7"/>
        <v>428</v>
      </c>
      <c r="M13" s="39">
        <f t="shared" si="7"/>
        <v>194</v>
      </c>
      <c r="N13" s="40">
        <f t="shared" si="7"/>
        <v>160</v>
      </c>
      <c r="O13" s="38">
        <f>SUM(M13:N13)</f>
        <v>354</v>
      </c>
      <c r="P13" s="39">
        <f>SUM(P8:P12)</f>
        <v>224</v>
      </c>
      <c r="Q13" s="40">
        <f>SUM(Q8:Q12)</f>
        <v>200</v>
      </c>
      <c r="R13" s="38">
        <f>SUM(R8:R12)</f>
        <v>424</v>
      </c>
      <c r="S13" s="39">
        <f t="shared" si="5"/>
        <v>24508</v>
      </c>
      <c r="T13" s="40">
        <f t="shared" si="5"/>
        <v>24922</v>
      </c>
      <c r="U13" s="38">
        <f>SUM(U8:U12)</f>
        <v>49430</v>
      </c>
    </row>
    <row r="15" spans="1:21" ht="15.6" x14ac:dyDescent="0.3">
      <c r="O15" s="66" t="s">
        <v>100</v>
      </c>
      <c r="P15" s="66"/>
      <c r="Q15" s="66"/>
      <c r="R15" s="66"/>
      <c r="S15" s="66"/>
      <c r="T15" s="66"/>
      <c r="U15" s="66"/>
    </row>
    <row r="16" spans="1:21" ht="15.6" x14ac:dyDescent="0.3">
      <c r="O16" s="66" t="s">
        <v>20</v>
      </c>
      <c r="P16" s="66"/>
      <c r="Q16" s="66"/>
      <c r="R16" s="66"/>
      <c r="S16" s="66"/>
      <c r="T16" s="66"/>
      <c r="U16" s="66"/>
    </row>
    <row r="17" spans="15:21" ht="15.6" x14ac:dyDescent="0.3">
      <c r="O17" s="56"/>
      <c r="P17" s="56"/>
      <c r="Q17" s="56"/>
      <c r="R17" s="56"/>
      <c r="S17" s="56"/>
      <c r="T17" s="56"/>
      <c r="U17" s="56"/>
    </row>
    <row r="18" spans="15:21" ht="15.6" x14ac:dyDescent="0.3">
      <c r="O18" s="56"/>
      <c r="P18" s="56"/>
      <c r="Q18" s="56"/>
      <c r="R18" s="56"/>
      <c r="S18" s="56"/>
      <c r="T18" s="56"/>
      <c r="U18" s="56"/>
    </row>
    <row r="19" spans="15:21" ht="15.6" x14ac:dyDescent="0.3">
      <c r="O19" s="56"/>
      <c r="P19" s="56"/>
      <c r="Q19" s="56"/>
      <c r="R19" s="56"/>
      <c r="S19" s="56"/>
      <c r="T19" s="56"/>
      <c r="U19" s="56"/>
    </row>
    <row r="20" spans="15:21" ht="15.6" x14ac:dyDescent="0.3">
      <c r="O20" s="56"/>
      <c r="P20" s="56"/>
      <c r="Q20" s="56"/>
      <c r="R20" s="56"/>
      <c r="S20" s="56"/>
      <c r="T20" s="56"/>
      <c r="U20" s="56"/>
    </row>
    <row r="21" spans="15:21" ht="15.6" x14ac:dyDescent="0.3">
      <c r="O21" s="67" t="s">
        <v>97</v>
      </c>
      <c r="P21" s="67"/>
      <c r="Q21" s="67"/>
      <c r="R21" s="67"/>
      <c r="S21" s="67"/>
      <c r="T21" s="67"/>
      <c r="U21" s="67"/>
    </row>
    <row r="22" spans="15:21" ht="15.6" x14ac:dyDescent="0.3">
      <c r="O22" s="66" t="s">
        <v>98</v>
      </c>
      <c r="P22" s="66"/>
      <c r="Q22" s="66"/>
      <c r="R22" s="66"/>
      <c r="S22" s="66"/>
      <c r="T22" s="66"/>
      <c r="U22" s="66"/>
    </row>
  </sheetData>
  <mergeCells count="17">
    <mergeCell ref="O21:U21"/>
    <mergeCell ref="O22:U22"/>
    <mergeCell ref="A2:U2"/>
    <mergeCell ref="A3:U3"/>
    <mergeCell ref="B4:I4"/>
    <mergeCell ref="A5:A6"/>
    <mergeCell ref="B5:B6"/>
    <mergeCell ref="C5:C6"/>
    <mergeCell ref="D5:F5"/>
    <mergeCell ref="G5:I5"/>
    <mergeCell ref="J5:L5"/>
    <mergeCell ref="M5:O5"/>
    <mergeCell ref="P5:R5"/>
    <mergeCell ref="S5:U5"/>
    <mergeCell ref="A13:B13"/>
    <mergeCell ref="O15:U15"/>
    <mergeCell ref="O16:U16"/>
  </mergeCells>
  <pageMargins left="0.7" right="0.7" top="0.75" bottom="0.75" header="0.3" footer="0.3"/>
  <pageSetup paperSize="9" scale="6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9"/>
  <sheetViews>
    <sheetView workbookViewId="0">
      <selection activeCell="B1" sqref="A1:T34"/>
    </sheetView>
  </sheetViews>
  <sheetFormatPr defaultRowHeight="14.4" x14ac:dyDescent="0.3"/>
  <cols>
    <col min="1" max="1" width="5.33203125" customWidth="1"/>
    <col min="2" max="2" width="18.33203125" customWidth="1"/>
    <col min="3" max="3" width="13.44140625" customWidth="1"/>
    <col min="4" max="4" width="9.109375" customWidth="1"/>
    <col min="5" max="5" width="13.44140625" customWidth="1"/>
    <col min="6" max="6" width="9" customWidth="1"/>
    <col min="7" max="7" width="9.44140625" style="1" customWidth="1"/>
    <col min="8" max="8" width="9.44140625" customWidth="1"/>
  </cols>
  <sheetData>
    <row r="2" spans="1:19" x14ac:dyDescent="0.3">
      <c r="A2" s="59" t="s">
        <v>105</v>
      </c>
      <c r="B2" s="59"/>
      <c r="C2" s="59"/>
      <c r="D2" s="59"/>
      <c r="E2" s="59"/>
      <c r="F2" s="59"/>
      <c r="G2" s="59"/>
      <c r="H2" s="59"/>
    </row>
    <row r="3" spans="1:19" x14ac:dyDescent="0.3">
      <c r="C3" s="8"/>
      <c r="D3" s="8"/>
    </row>
    <row r="4" spans="1:19" x14ac:dyDescent="0.3">
      <c r="A4" s="84" t="s">
        <v>0</v>
      </c>
      <c r="B4" s="81" t="s">
        <v>52</v>
      </c>
      <c r="C4" s="87" t="s">
        <v>50</v>
      </c>
      <c r="D4" s="88"/>
      <c r="E4" s="88"/>
      <c r="F4" s="89"/>
      <c r="G4" s="81" t="s">
        <v>51</v>
      </c>
      <c r="H4" s="10"/>
    </row>
    <row r="5" spans="1:19" x14ac:dyDescent="0.3">
      <c r="A5" s="85"/>
      <c r="B5" s="82"/>
      <c r="C5" s="11" t="s">
        <v>21</v>
      </c>
      <c r="D5" s="11" t="s">
        <v>22</v>
      </c>
      <c r="E5" s="9" t="s">
        <v>23</v>
      </c>
      <c r="F5" s="9" t="s">
        <v>22</v>
      </c>
      <c r="G5" s="82"/>
      <c r="H5" s="11" t="s">
        <v>22</v>
      </c>
      <c r="J5" t="s">
        <v>53</v>
      </c>
      <c r="L5" t="s">
        <v>54</v>
      </c>
      <c r="N5" t="s">
        <v>55</v>
      </c>
      <c r="P5" t="s">
        <v>56</v>
      </c>
      <c r="R5" t="s">
        <v>57</v>
      </c>
    </row>
    <row r="6" spans="1:19" x14ac:dyDescent="0.3">
      <c r="A6" s="86"/>
      <c r="B6" s="83"/>
      <c r="C6" s="13" t="s">
        <v>24</v>
      </c>
      <c r="D6" s="13"/>
      <c r="E6" s="13" t="s">
        <v>24</v>
      </c>
      <c r="F6" s="12"/>
      <c r="G6" s="83"/>
      <c r="H6" s="12"/>
      <c r="J6" t="s">
        <v>5</v>
      </c>
      <c r="K6" t="s">
        <v>6</v>
      </c>
      <c r="L6" t="s">
        <v>5</v>
      </c>
      <c r="M6" t="s">
        <v>6</v>
      </c>
      <c r="N6" t="s">
        <v>5</v>
      </c>
      <c r="O6" t="s">
        <v>6</v>
      </c>
      <c r="P6" t="s">
        <v>5</v>
      </c>
      <c r="Q6" t="s">
        <v>6</v>
      </c>
      <c r="R6" t="s">
        <v>5</v>
      </c>
      <c r="S6" t="s">
        <v>6</v>
      </c>
    </row>
    <row r="7" spans="1:19" x14ac:dyDescent="0.3">
      <c r="A7" s="49">
        <v>1</v>
      </c>
      <c r="B7" s="22" t="s">
        <v>25</v>
      </c>
      <c r="C7" s="22">
        <f>J7+L7+N7+P7+R7</f>
        <v>1575</v>
      </c>
      <c r="D7" s="50"/>
      <c r="E7" s="22">
        <f>K7+M7+O7+Q7+S7</f>
        <v>1397</v>
      </c>
      <c r="F7" s="51"/>
      <c r="G7" s="7">
        <f>C7+E7</f>
        <v>2972</v>
      </c>
      <c r="H7" s="51"/>
      <c r="J7">
        <v>480</v>
      </c>
      <c r="K7">
        <v>371</v>
      </c>
      <c r="L7">
        <v>379</v>
      </c>
      <c r="M7">
        <v>373</v>
      </c>
      <c r="N7">
        <v>216</v>
      </c>
      <c r="O7">
        <v>142</v>
      </c>
      <c r="P7">
        <v>256</v>
      </c>
      <c r="Q7">
        <v>267</v>
      </c>
      <c r="R7">
        <v>244</v>
      </c>
      <c r="S7">
        <v>244</v>
      </c>
    </row>
    <row r="8" spans="1:19" x14ac:dyDescent="0.3">
      <c r="A8" s="22">
        <v>2</v>
      </c>
      <c r="B8" s="52" t="s">
        <v>26</v>
      </c>
      <c r="C8" s="22">
        <f t="shared" ref="C8:C19" si="0">J8+L8+N8+P8+R8</f>
        <v>1750</v>
      </c>
      <c r="D8" s="50"/>
      <c r="E8" s="22">
        <f t="shared" ref="E8:E19" si="1">K8+M8+O8+Q8+S8</f>
        <v>1667</v>
      </c>
      <c r="F8" s="51"/>
      <c r="G8" s="7">
        <f t="shared" ref="G8:G19" si="2">C8+E8</f>
        <v>3417</v>
      </c>
      <c r="H8" s="51"/>
      <c r="J8">
        <v>535</v>
      </c>
      <c r="K8">
        <v>430</v>
      </c>
      <c r="L8">
        <v>494</v>
      </c>
      <c r="M8">
        <v>494</v>
      </c>
      <c r="N8">
        <v>223</v>
      </c>
      <c r="O8">
        <v>212</v>
      </c>
      <c r="P8">
        <v>303</v>
      </c>
      <c r="Q8">
        <v>344</v>
      </c>
      <c r="R8">
        <v>195</v>
      </c>
      <c r="S8">
        <v>187</v>
      </c>
    </row>
    <row r="9" spans="1:19" x14ac:dyDescent="0.3">
      <c r="A9" s="22">
        <v>3</v>
      </c>
      <c r="B9" s="53" t="s">
        <v>27</v>
      </c>
      <c r="C9" s="22">
        <f t="shared" si="0"/>
        <v>1963</v>
      </c>
      <c r="D9" s="50"/>
      <c r="E9" s="22">
        <f t="shared" si="1"/>
        <v>1885</v>
      </c>
      <c r="F9" s="51"/>
      <c r="G9" s="7">
        <f t="shared" si="2"/>
        <v>3848</v>
      </c>
      <c r="H9" s="51"/>
      <c r="J9">
        <v>466</v>
      </c>
      <c r="K9">
        <v>376</v>
      </c>
      <c r="L9">
        <v>550</v>
      </c>
      <c r="M9">
        <v>523</v>
      </c>
      <c r="N9">
        <v>217</v>
      </c>
      <c r="O9">
        <v>226</v>
      </c>
      <c r="P9">
        <v>276</v>
      </c>
      <c r="Q9">
        <v>335</v>
      </c>
      <c r="R9">
        <v>454</v>
      </c>
      <c r="S9">
        <v>425</v>
      </c>
    </row>
    <row r="10" spans="1:19" x14ac:dyDescent="0.3">
      <c r="A10" s="22">
        <v>4</v>
      </c>
      <c r="B10" s="54" t="s">
        <v>28</v>
      </c>
      <c r="C10" s="22">
        <f t="shared" si="0"/>
        <v>2039</v>
      </c>
      <c r="D10" s="50"/>
      <c r="E10" s="22">
        <f t="shared" si="1"/>
        <v>1736</v>
      </c>
      <c r="F10" s="51"/>
      <c r="G10" s="7">
        <f t="shared" si="2"/>
        <v>3775</v>
      </c>
      <c r="H10" s="51"/>
      <c r="J10">
        <v>584</v>
      </c>
      <c r="K10">
        <v>379</v>
      </c>
      <c r="L10">
        <v>575</v>
      </c>
      <c r="M10">
        <v>587</v>
      </c>
      <c r="N10">
        <v>227</v>
      </c>
      <c r="O10">
        <v>144</v>
      </c>
      <c r="P10">
        <v>378</v>
      </c>
      <c r="Q10">
        <v>366</v>
      </c>
      <c r="R10">
        <v>275</v>
      </c>
      <c r="S10">
        <v>260</v>
      </c>
    </row>
    <row r="11" spans="1:19" x14ac:dyDescent="0.3">
      <c r="A11" s="22">
        <v>5</v>
      </c>
      <c r="B11" s="54" t="s">
        <v>29</v>
      </c>
      <c r="C11" s="22">
        <f t="shared" si="0"/>
        <v>2161</v>
      </c>
      <c r="D11" s="50"/>
      <c r="E11" s="22">
        <f t="shared" si="1"/>
        <v>2012</v>
      </c>
      <c r="F11" s="51"/>
      <c r="G11" s="7">
        <f t="shared" si="2"/>
        <v>4173</v>
      </c>
      <c r="H11" s="51"/>
      <c r="J11">
        <v>439</v>
      </c>
      <c r="K11">
        <v>408</v>
      </c>
      <c r="L11">
        <v>642</v>
      </c>
      <c r="M11">
        <v>540</v>
      </c>
      <c r="N11">
        <v>207</v>
      </c>
      <c r="O11">
        <v>224</v>
      </c>
      <c r="P11">
        <v>420</v>
      </c>
      <c r="Q11">
        <v>393</v>
      </c>
      <c r="R11">
        <v>453</v>
      </c>
      <c r="S11">
        <v>447</v>
      </c>
    </row>
    <row r="12" spans="1:19" x14ac:dyDescent="0.3">
      <c r="A12" s="22">
        <v>6</v>
      </c>
      <c r="B12" s="54" t="s">
        <v>30</v>
      </c>
      <c r="C12" s="22">
        <f t="shared" si="0"/>
        <v>2058</v>
      </c>
      <c r="D12" s="50"/>
      <c r="E12" s="22">
        <f t="shared" si="1"/>
        <v>1984</v>
      </c>
      <c r="F12" s="51"/>
      <c r="G12" s="7">
        <f t="shared" si="2"/>
        <v>4042</v>
      </c>
      <c r="H12" s="51"/>
      <c r="J12">
        <v>582</v>
      </c>
      <c r="K12">
        <v>471</v>
      </c>
      <c r="L12">
        <v>503</v>
      </c>
      <c r="M12">
        <v>537</v>
      </c>
      <c r="N12">
        <v>209</v>
      </c>
      <c r="O12">
        <v>223</v>
      </c>
      <c r="P12">
        <v>412</v>
      </c>
      <c r="Q12">
        <v>429</v>
      </c>
      <c r="R12">
        <v>352</v>
      </c>
      <c r="S12">
        <v>324</v>
      </c>
    </row>
    <row r="13" spans="1:19" x14ac:dyDescent="0.3">
      <c r="A13" s="22">
        <v>7</v>
      </c>
      <c r="B13" s="22" t="s">
        <v>31</v>
      </c>
      <c r="C13" s="22">
        <f t="shared" si="0"/>
        <v>2066</v>
      </c>
      <c r="D13" s="50"/>
      <c r="E13" s="22">
        <f t="shared" si="1"/>
        <v>1965</v>
      </c>
      <c r="F13" s="51"/>
      <c r="G13" s="7">
        <f t="shared" si="2"/>
        <v>4031</v>
      </c>
      <c r="H13" s="51"/>
      <c r="J13">
        <v>572</v>
      </c>
      <c r="K13">
        <v>466</v>
      </c>
      <c r="L13">
        <v>524</v>
      </c>
      <c r="M13">
        <v>554</v>
      </c>
      <c r="N13">
        <v>201</v>
      </c>
      <c r="O13">
        <v>209</v>
      </c>
      <c r="P13">
        <v>333</v>
      </c>
      <c r="Q13">
        <v>314</v>
      </c>
      <c r="R13">
        <v>436</v>
      </c>
      <c r="S13">
        <v>422</v>
      </c>
    </row>
    <row r="14" spans="1:19" x14ac:dyDescent="0.3">
      <c r="A14" s="22">
        <v>8</v>
      </c>
      <c r="B14" s="22" t="s">
        <v>32</v>
      </c>
      <c r="C14" s="22">
        <f t="shared" si="0"/>
        <v>1963</v>
      </c>
      <c r="D14" s="50"/>
      <c r="E14" s="22">
        <f t="shared" si="1"/>
        <v>2106</v>
      </c>
      <c r="F14" s="51"/>
      <c r="G14" s="7">
        <f t="shared" si="2"/>
        <v>4069</v>
      </c>
      <c r="H14" s="51"/>
      <c r="J14">
        <v>473</v>
      </c>
      <c r="K14">
        <v>586</v>
      </c>
      <c r="L14">
        <v>597</v>
      </c>
      <c r="M14">
        <v>618</v>
      </c>
      <c r="N14">
        <v>217</v>
      </c>
      <c r="O14">
        <v>208</v>
      </c>
      <c r="P14">
        <v>402</v>
      </c>
      <c r="Q14">
        <v>406</v>
      </c>
      <c r="R14">
        <v>274</v>
      </c>
      <c r="S14">
        <v>288</v>
      </c>
    </row>
    <row r="15" spans="1:19" x14ac:dyDescent="0.3">
      <c r="A15" s="22">
        <v>9</v>
      </c>
      <c r="B15" s="22" t="s">
        <v>33</v>
      </c>
      <c r="C15" s="22">
        <f t="shared" si="0"/>
        <v>2167</v>
      </c>
      <c r="D15" s="50"/>
      <c r="E15" s="22">
        <f t="shared" si="1"/>
        <v>2123</v>
      </c>
      <c r="F15" s="51"/>
      <c r="G15" s="7">
        <f t="shared" si="2"/>
        <v>4290</v>
      </c>
      <c r="H15" s="51"/>
      <c r="J15">
        <v>438</v>
      </c>
      <c r="K15">
        <v>463</v>
      </c>
      <c r="L15">
        <v>595</v>
      </c>
      <c r="M15">
        <v>586</v>
      </c>
      <c r="N15">
        <v>243</v>
      </c>
      <c r="O15">
        <v>198</v>
      </c>
      <c r="P15">
        <v>566</v>
      </c>
      <c r="Q15">
        <v>554</v>
      </c>
      <c r="R15">
        <v>325</v>
      </c>
      <c r="S15">
        <v>322</v>
      </c>
    </row>
    <row r="16" spans="1:19" x14ac:dyDescent="0.3">
      <c r="A16" s="22">
        <v>10</v>
      </c>
      <c r="B16" s="22" t="s">
        <v>34</v>
      </c>
      <c r="C16" s="22">
        <f t="shared" si="0"/>
        <v>2177</v>
      </c>
      <c r="D16" s="50"/>
      <c r="E16" s="22">
        <f t="shared" si="1"/>
        <v>1978</v>
      </c>
      <c r="F16" s="51"/>
      <c r="G16" s="7">
        <f t="shared" si="2"/>
        <v>4155</v>
      </c>
      <c r="H16" s="51"/>
      <c r="J16">
        <v>439</v>
      </c>
      <c r="K16">
        <v>409</v>
      </c>
      <c r="L16">
        <v>522</v>
      </c>
      <c r="M16">
        <v>505</v>
      </c>
      <c r="N16">
        <v>190</v>
      </c>
      <c r="O16">
        <v>167</v>
      </c>
      <c r="P16">
        <v>584</v>
      </c>
      <c r="Q16">
        <v>472</v>
      </c>
      <c r="R16">
        <v>442</v>
      </c>
      <c r="S16">
        <v>425</v>
      </c>
    </row>
    <row r="17" spans="1:19" x14ac:dyDescent="0.3">
      <c r="A17" s="22">
        <v>11</v>
      </c>
      <c r="B17" s="22" t="s">
        <v>35</v>
      </c>
      <c r="C17" s="22">
        <f t="shared" si="0"/>
        <v>2031</v>
      </c>
      <c r="D17" s="50"/>
      <c r="E17" s="22">
        <f t="shared" si="1"/>
        <v>1708</v>
      </c>
      <c r="F17" s="51"/>
      <c r="G17" s="7">
        <f t="shared" si="2"/>
        <v>3739</v>
      </c>
      <c r="H17" s="51"/>
      <c r="J17">
        <v>594</v>
      </c>
      <c r="K17">
        <v>367</v>
      </c>
      <c r="L17">
        <v>469</v>
      </c>
      <c r="M17">
        <v>454</v>
      </c>
      <c r="N17">
        <v>144</v>
      </c>
      <c r="O17">
        <v>151</v>
      </c>
      <c r="P17">
        <v>473</v>
      </c>
      <c r="Q17">
        <v>391</v>
      </c>
      <c r="R17">
        <v>351</v>
      </c>
      <c r="S17">
        <v>345</v>
      </c>
    </row>
    <row r="18" spans="1:19" x14ac:dyDescent="0.3">
      <c r="A18" s="22">
        <v>12</v>
      </c>
      <c r="B18" s="22" t="s">
        <v>36</v>
      </c>
      <c r="C18" s="22">
        <f t="shared" si="0"/>
        <v>1816</v>
      </c>
      <c r="D18" s="50"/>
      <c r="E18" s="22">
        <f t="shared" si="1"/>
        <v>1754</v>
      </c>
      <c r="F18" s="51"/>
      <c r="G18" s="7">
        <f t="shared" si="2"/>
        <v>3570</v>
      </c>
      <c r="H18" s="51"/>
      <c r="I18" s="16"/>
      <c r="J18">
        <v>459</v>
      </c>
      <c r="K18">
        <v>408</v>
      </c>
      <c r="L18">
        <v>409</v>
      </c>
      <c r="M18">
        <v>457</v>
      </c>
      <c r="N18">
        <v>111</v>
      </c>
      <c r="O18">
        <v>144</v>
      </c>
      <c r="P18">
        <v>426</v>
      </c>
      <c r="Q18">
        <v>324</v>
      </c>
      <c r="R18">
        <v>411</v>
      </c>
      <c r="S18">
        <v>421</v>
      </c>
    </row>
    <row r="19" spans="1:19" x14ac:dyDescent="0.3">
      <c r="A19" s="22">
        <v>13</v>
      </c>
      <c r="B19" s="22" t="s">
        <v>37</v>
      </c>
      <c r="C19" s="22">
        <f t="shared" si="0"/>
        <v>1781</v>
      </c>
      <c r="D19" s="50"/>
      <c r="E19" s="22">
        <f t="shared" si="1"/>
        <v>1859</v>
      </c>
      <c r="F19" s="51"/>
      <c r="G19" s="7">
        <f t="shared" si="2"/>
        <v>3640</v>
      </c>
      <c r="H19" s="55"/>
      <c r="I19" s="16"/>
      <c r="J19">
        <v>484</v>
      </c>
      <c r="K19">
        <v>502</v>
      </c>
      <c r="L19">
        <v>672</v>
      </c>
      <c r="M19">
        <v>720</v>
      </c>
      <c r="N19">
        <v>229</v>
      </c>
      <c r="O19">
        <v>220</v>
      </c>
      <c r="P19">
        <v>376</v>
      </c>
      <c r="Q19">
        <v>392</v>
      </c>
      <c r="R19">
        <v>20</v>
      </c>
      <c r="S19">
        <v>25</v>
      </c>
    </row>
    <row r="20" spans="1:19" x14ac:dyDescent="0.3">
      <c r="A20" s="2"/>
      <c r="B20" s="17" t="s">
        <v>38</v>
      </c>
      <c r="C20" s="18">
        <f>SUM(C7:C19)</f>
        <v>25547</v>
      </c>
      <c r="D20" s="14"/>
      <c r="E20" s="19">
        <f>SUM(E7:E19)</f>
        <v>24174</v>
      </c>
      <c r="F20" s="15"/>
      <c r="G20" s="48">
        <f>SUM(G7:G19)</f>
        <v>49721</v>
      </c>
      <c r="H20" s="20"/>
    </row>
    <row r="22" spans="1:19" x14ac:dyDescent="0.3">
      <c r="D22" s="79" t="s">
        <v>104</v>
      </c>
      <c r="E22" s="79"/>
      <c r="F22" s="79"/>
      <c r="G22" s="79"/>
      <c r="H22" s="79"/>
    </row>
    <row r="23" spans="1:19" x14ac:dyDescent="0.3">
      <c r="D23" s="79" t="s">
        <v>20</v>
      </c>
      <c r="E23" s="79"/>
      <c r="F23" s="79"/>
      <c r="G23" s="79"/>
      <c r="H23" s="79"/>
    </row>
    <row r="28" spans="1:19" x14ac:dyDescent="0.3">
      <c r="D28" s="80" t="s">
        <v>106</v>
      </c>
      <c r="E28" s="80"/>
      <c r="F28" s="80"/>
      <c r="G28" s="80"/>
      <c r="H28" s="80"/>
    </row>
    <row r="29" spans="1:19" x14ac:dyDescent="0.3">
      <c r="D29" s="79" t="s">
        <v>101</v>
      </c>
      <c r="E29" s="79"/>
      <c r="F29" s="79"/>
      <c r="G29" s="79"/>
      <c r="H29" s="79"/>
    </row>
  </sheetData>
  <mergeCells count="9">
    <mergeCell ref="D29:H29"/>
    <mergeCell ref="D22:H22"/>
    <mergeCell ref="D23:H23"/>
    <mergeCell ref="D28:H28"/>
    <mergeCell ref="A2:H2"/>
    <mergeCell ref="B4:B6"/>
    <mergeCell ref="A4:A6"/>
    <mergeCell ref="C4:F4"/>
    <mergeCell ref="G4:G6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29"/>
  <sheetViews>
    <sheetView workbookViewId="0">
      <selection activeCell="Q31" sqref="A1:Q31"/>
    </sheetView>
  </sheetViews>
  <sheetFormatPr defaultRowHeight="14.4" x14ac:dyDescent="0.3"/>
  <cols>
    <col min="1" max="1" width="6.109375" customWidth="1"/>
    <col min="2" max="2" width="22.109375" customWidth="1"/>
    <col min="3" max="4" width="13.6640625" style="1" customWidth="1"/>
    <col min="5" max="5" width="14" style="1" customWidth="1"/>
    <col min="6" max="15" width="9.109375" style="1"/>
  </cols>
  <sheetData>
    <row r="3" spans="1:15" x14ac:dyDescent="0.3">
      <c r="A3" s="80" t="s">
        <v>61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5" spans="1:15" ht="15" thickBot="1" x14ac:dyDescent="0.35">
      <c r="A5" s="3"/>
      <c r="B5" s="3"/>
      <c r="C5" s="3"/>
      <c r="D5" s="3"/>
      <c r="E5" s="3"/>
    </row>
    <row r="6" spans="1:15" ht="15" thickTop="1" x14ac:dyDescent="0.3">
      <c r="A6" s="99" t="s">
        <v>60</v>
      </c>
      <c r="B6" s="100"/>
      <c r="C6" s="100"/>
      <c r="D6" s="100"/>
      <c r="E6" s="101"/>
      <c r="F6" s="90" t="s">
        <v>59</v>
      </c>
      <c r="G6" s="91"/>
      <c r="H6" s="91"/>
      <c r="I6" s="91"/>
      <c r="J6" s="91"/>
      <c r="K6" s="91"/>
      <c r="L6" s="91"/>
      <c r="M6" s="91"/>
      <c r="N6" s="91"/>
      <c r="O6" s="92"/>
    </row>
    <row r="7" spans="1:15" x14ac:dyDescent="0.3">
      <c r="A7" s="97" t="s">
        <v>0</v>
      </c>
      <c r="B7" s="60" t="s">
        <v>58</v>
      </c>
      <c r="C7" s="60" t="s">
        <v>21</v>
      </c>
      <c r="D7" s="60" t="s">
        <v>23</v>
      </c>
      <c r="E7" s="98" t="s">
        <v>8</v>
      </c>
      <c r="F7" s="93" t="s">
        <v>14</v>
      </c>
      <c r="G7" s="94"/>
      <c r="H7" s="95" t="s">
        <v>15</v>
      </c>
      <c r="I7" s="94"/>
      <c r="J7" s="95" t="s">
        <v>16</v>
      </c>
      <c r="K7" s="94"/>
      <c r="L7" s="95" t="s">
        <v>17</v>
      </c>
      <c r="M7" s="94"/>
      <c r="N7" s="95" t="s">
        <v>18</v>
      </c>
      <c r="O7" s="96"/>
    </row>
    <row r="8" spans="1:15" x14ac:dyDescent="0.3">
      <c r="A8" s="97"/>
      <c r="B8" s="60"/>
      <c r="C8" s="60"/>
      <c r="D8" s="60"/>
      <c r="E8" s="98"/>
      <c r="F8" s="24" t="s">
        <v>5</v>
      </c>
      <c r="G8" s="6" t="s">
        <v>6</v>
      </c>
      <c r="H8" s="6" t="s">
        <v>5</v>
      </c>
      <c r="I8" s="6" t="s">
        <v>6</v>
      </c>
      <c r="J8" s="6" t="s">
        <v>5</v>
      </c>
      <c r="K8" s="6" t="s">
        <v>6</v>
      </c>
      <c r="L8" s="6" t="s">
        <v>5</v>
      </c>
      <c r="M8" s="6" t="s">
        <v>6</v>
      </c>
      <c r="N8" s="6" t="s">
        <v>5</v>
      </c>
      <c r="O8" s="25" t="s">
        <v>6</v>
      </c>
    </row>
    <row r="9" spans="1:15" x14ac:dyDescent="0.3">
      <c r="A9" s="31">
        <v>1</v>
      </c>
      <c r="B9" s="23" t="s">
        <v>39</v>
      </c>
      <c r="C9" s="7">
        <f>F9+H9+J9+L9+N9</f>
        <v>154</v>
      </c>
      <c r="D9" s="7">
        <f>G9+I9+K9+M9+O9</f>
        <v>109</v>
      </c>
      <c r="E9" s="27">
        <f>C9+D9</f>
        <v>263</v>
      </c>
      <c r="F9" s="26">
        <v>11</v>
      </c>
      <c r="G9" s="7">
        <v>17</v>
      </c>
      <c r="H9" s="7">
        <v>41</v>
      </c>
      <c r="I9" s="7">
        <v>31</v>
      </c>
      <c r="J9" s="7">
        <v>27</v>
      </c>
      <c r="K9" s="7">
        <v>10</v>
      </c>
      <c r="L9" s="7">
        <v>54</v>
      </c>
      <c r="M9" s="7">
        <v>28</v>
      </c>
      <c r="N9" s="7">
        <v>21</v>
      </c>
      <c r="O9" s="27">
        <v>23</v>
      </c>
    </row>
    <row r="10" spans="1:15" x14ac:dyDescent="0.3">
      <c r="A10" s="31">
        <v>2</v>
      </c>
      <c r="B10" s="23" t="s">
        <v>40</v>
      </c>
      <c r="C10" s="7">
        <f t="shared" ref="C10:C19" si="0">F10+H10+J10+L10+N10</f>
        <v>10273</v>
      </c>
      <c r="D10" s="7">
        <f t="shared" ref="D10:D19" si="1">G10+I10+K10+M10+O10</f>
        <v>3054</v>
      </c>
      <c r="E10" s="27">
        <f t="shared" ref="E10:E19" si="2">C10+D10</f>
        <v>13327</v>
      </c>
      <c r="F10" s="26">
        <v>1995</v>
      </c>
      <c r="G10" s="7">
        <v>459</v>
      </c>
      <c r="H10" s="7">
        <v>3707</v>
      </c>
      <c r="I10" s="7">
        <v>564</v>
      </c>
      <c r="J10" s="7">
        <v>518</v>
      </c>
      <c r="K10" s="7">
        <v>46</v>
      </c>
      <c r="L10" s="7">
        <v>2577</v>
      </c>
      <c r="M10" s="7">
        <v>1570</v>
      </c>
      <c r="N10" s="7">
        <v>1476</v>
      </c>
      <c r="O10" s="27">
        <v>415</v>
      </c>
    </row>
    <row r="11" spans="1:15" x14ac:dyDescent="0.3">
      <c r="A11" s="31">
        <v>3</v>
      </c>
      <c r="B11" s="23" t="s">
        <v>41</v>
      </c>
      <c r="C11" s="7">
        <f t="shared" si="0"/>
        <v>1430</v>
      </c>
      <c r="D11" s="7">
        <f t="shared" si="1"/>
        <v>60</v>
      </c>
      <c r="E11" s="27">
        <f t="shared" si="2"/>
        <v>1490</v>
      </c>
      <c r="F11" s="26">
        <v>1245</v>
      </c>
      <c r="G11" s="7">
        <v>0</v>
      </c>
      <c r="H11" s="7">
        <v>31</v>
      </c>
      <c r="I11" s="7">
        <v>0</v>
      </c>
      <c r="J11" s="7">
        <v>1</v>
      </c>
      <c r="K11" s="7">
        <v>0</v>
      </c>
      <c r="L11" s="7">
        <v>153</v>
      </c>
      <c r="M11" s="7">
        <v>60</v>
      </c>
      <c r="N11" s="7">
        <v>0</v>
      </c>
      <c r="O11" s="27">
        <v>0</v>
      </c>
    </row>
    <row r="12" spans="1:15" x14ac:dyDescent="0.3">
      <c r="A12" s="31">
        <v>4</v>
      </c>
      <c r="B12" s="23" t="s">
        <v>42</v>
      </c>
      <c r="C12" s="7">
        <f t="shared" si="0"/>
        <v>1188</v>
      </c>
      <c r="D12" s="7">
        <f t="shared" si="1"/>
        <v>424</v>
      </c>
      <c r="E12" s="27">
        <f t="shared" si="2"/>
        <v>1612</v>
      </c>
      <c r="F12" s="26">
        <v>409</v>
      </c>
      <c r="G12" s="7">
        <v>189</v>
      </c>
      <c r="H12" s="7">
        <v>278</v>
      </c>
      <c r="I12" s="7">
        <v>54</v>
      </c>
      <c r="J12" s="7">
        <v>174</v>
      </c>
      <c r="K12" s="7">
        <v>57</v>
      </c>
      <c r="L12" s="7">
        <v>327</v>
      </c>
      <c r="M12" s="7">
        <v>124</v>
      </c>
      <c r="N12" s="7">
        <v>0</v>
      </c>
      <c r="O12" s="27">
        <v>0</v>
      </c>
    </row>
    <row r="13" spans="1:15" x14ac:dyDescent="0.3">
      <c r="A13" s="31">
        <v>5</v>
      </c>
      <c r="B13" s="23" t="s">
        <v>43</v>
      </c>
      <c r="C13" s="7">
        <f t="shared" si="0"/>
        <v>1797</v>
      </c>
      <c r="D13" s="7">
        <f t="shared" si="1"/>
        <v>1269</v>
      </c>
      <c r="E13" s="27">
        <f t="shared" si="2"/>
        <v>3066</v>
      </c>
      <c r="F13" s="26">
        <v>572</v>
      </c>
      <c r="G13" s="7">
        <v>242</v>
      </c>
      <c r="H13" s="7">
        <v>299</v>
      </c>
      <c r="I13" s="7">
        <v>274</v>
      </c>
      <c r="J13" s="7">
        <v>76</v>
      </c>
      <c r="K13" s="7">
        <v>59</v>
      </c>
      <c r="L13" s="7">
        <v>813</v>
      </c>
      <c r="M13" s="7">
        <v>525</v>
      </c>
      <c r="N13" s="7">
        <v>37</v>
      </c>
      <c r="O13" s="27">
        <v>169</v>
      </c>
    </row>
    <row r="14" spans="1:15" x14ac:dyDescent="0.3">
      <c r="A14" s="31">
        <v>6</v>
      </c>
      <c r="B14" s="23" t="s">
        <v>44</v>
      </c>
      <c r="C14" s="7">
        <f t="shared" si="0"/>
        <v>45</v>
      </c>
      <c r="D14" s="7">
        <f t="shared" si="1"/>
        <v>0</v>
      </c>
      <c r="E14" s="27">
        <f t="shared" si="2"/>
        <v>45</v>
      </c>
      <c r="F14" s="26">
        <v>4</v>
      </c>
      <c r="G14" s="7">
        <v>0</v>
      </c>
      <c r="H14" s="7">
        <v>9</v>
      </c>
      <c r="I14" s="7">
        <v>0</v>
      </c>
      <c r="J14" s="7">
        <v>30</v>
      </c>
      <c r="K14" s="7">
        <v>0</v>
      </c>
      <c r="L14" s="7">
        <v>0</v>
      </c>
      <c r="M14" s="7">
        <v>0</v>
      </c>
      <c r="N14" s="7">
        <v>2</v>
      </c>
      <c r="O14" s="27">
        <v>0</v>
      </c>
    </row>
    <row r="15" spans="1:15" x14ac:dyDescent="0.3">
      <c r="A15" s="31">
        <v>7</v>
      </c>
      <c r="B15" s="23" t="s">
        <v>45</v>
      </c>
      <c r="C15" s="7">
        <f t="shared" si="0"/>
        <v>14</v>
      </c>
      <c r="D15" s="7">
        <f t="shared" si="1"/>
        <v>0</v>
      </c>
      <c r="E15" s="27">
        <f t="shared" si="2"/>
        <v>14</v>
      </c>
      <c r="F15" s="26">
        <v>0</v>
      </c>
      <c r="G15" s="7">
        <v>0</v>
      </c>
      <c r="H15" s="7">
        <v>7</v>
      </c>
      <c r="I15" s="7">
        <v>0</v>
      </c>
      <c r="J15" s="7">
        <v>0</v>
      </c>
      <c r="K15" s="7">
        <v>0</v>
      </c>
      <c r="L15" s="7">
        <v>5</v>
      </c>
      <c r="M15" s="7">
        <v>0</v>
      </c>
      <c r="N15" s="7">
        <v>2</v>
      </c>
      <c r="O15" s="27">
        <v>0</v>
      </c>
    </row>
    <row r="16" spans="1:15" x14ac:dyDescent="0.3">
      <c r="A16" s="31">
        <v>8</v>
      </c>
      <c r="B16" s="23" t="s">
        <v>46</v>
      </c>
      <c r="C16" s="7">
        <f t="shared" si="0"/>
        <v>1588</v>
      </c>
      <c r="D16" s="7">
        <f t="shared" si="1"/>
        <v>1113</v>
      </c>
      <c r="E16" s="27">
        <f t="shared" si="2"/>
        <v>2701</v>
      </c>
      <c r="F16" s="26">
        <v>494</v>
      </c>
      <c r="G16" s="7">
        <v>297</v>
      </c>
      <c r="H16" s="7">
        <v>463</v>
      </c>
      <c r="I16" s="7">
        <v>199</v>
      </c>
      <c r="J16" s="7">
        <v>13</v>
      </c>
      <c r="K16" s="7">
        <v>5</v>
      </c>
      <c r="L16" s="7">
        <v>144</v>
      </c>
      <c r="M16" s="7">
        <v>127</v>
      </c>
      <c r="N16" s="7">
        <v>474</v>
      </c>
      <c r="O16" s="27">
        <v>485</v>
      </c>
    </row>
    <row r="17" spans="1:15" x14ac:dyDescent="0.3">
      <c r="A17" s="31">
        <v>9</v>
      </c>
      <c r="B17" s="23" t="s">
        <v>47</v>
      </c>
      <c r="C17" s="7">
        <f t="shared" si="0"/>
        <v>7</v>
      </c>
      <c r="D17" s="7">
        <f t="shared" si="1"/>
        <v>0</v>
      </c>
      <c r="E17" s="27">
        <f t="shared" si="2"/>
        <v>7</v>
      </c>
      <c r="F17" s="26">
        <v>0</v>
      </c>
      <c r="G17" s="7">
        <v>0</v>
      </c>
      <c r="H17" s="7">
        <v>2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5</v>
      </c>
      <c r="O17" s="27">
        <v>0</v>
      </c>
    </row>
    <row r="18" spans="1:15" x14ac:dyDescent="0.3">
      <c r="A18" s="31">
        <v>10</v>
      </c>
      <c r="B18" s="23" t="s">
        <v>48</v>
      </c>
      <c r="C18" s="7">
        <f t="shared" si="0"/>
        <v>9</v>
      </c>
      <c r="D18" s="7">
        <f t="shared" si="1"/>
        <v>4</v>
      </c>
      <c r="E18" s="27">
        <f t="shared" si="2"/>
        <v>13</v>
      </c>
      <c r="F18" s="26">
        <v>0</v>
      </c>
      <c r="G18" s="7">
        <v>0</v>
      </c>
      <c r="H18" s="7">
        <v>9</v>
      </c>
      <c r="I18" s="7">
        <v>4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27">
        <v>0</v>
      </c>
    </row>
    <row r="19" spans="1:15" x14ac:dyDescent="0.3">
      <c r="A19" s="31">
        <v>11</v>
      </c>
      <c r="B19" s="2" t="s">
        <v>49</v>
      </c>
      <c r="C19" s="7">
        <f t="shared" si="0"/>
        <v>7556</v>
      </c>
      <c r="D19" s="7">
        <f t="shared" si="1"/>
        <v>13665</v>
      </c>
      <c r="E19" s="27">
        <f t="shared" si="2"/>
        <v>21221</v>
      </c>
      <c r="F19" s="26">
        <v>2121</v>
      </c>
      <c r="G19" s="7">
        <v>2247</v>
      </c>
      <c r="H19" s="7">
        <v>2085</v>
      </c>
      <c r="I19" s="7">
        <v>5822</v>
      </c>
      <c r="J19" s="7"/>
      <c r="K19" s="7"/>
      <c r="L19" s="7">
        <v>1135</v>
      </c>
      <c r="M19" s="7">
        <v>2553</v>
      </c>
      <c r="N19" s="7">
        <v>2215</v>
      </c>
      <c r="O19" s="27">
        <v>3043</v>
      </c>
    </row>
    <row r="20" spans="1:15" ht="15" thickBot="1" x14ac:dyDescent="0.35">
      <c r="A20" s="32"/>
      <c r="B20" s="33"/>
      <c r="C20" s="29">
        <f t="shared" ref="C20:O20" si="3">SUM(C9:C19)</f>
        <v>24061</v>
      </c>
      <c r="D20" s="29">
        <f t="shared" si="3"/>
        <v>19698</v>
      </c>
      <c r="E20" s="30">
        <f t="shared" si="3"/>
        <v>43759</v>
      </c>
      <c r="F20" s="28">
        <f t="shared" si="3"/>
        <v>6851</v>
      </c>
      <c r="G20" s="29">
        <f t="shared" si="3"/>
        <v>3451</v>
      </c>
      <c r="H20" s="29">
        <f t="shared" si="3"/>
        <v>6931</v>
      </c>
      <c r="I20" s="29">
        <f t="shared" si="3"/>
        <v>6948</v>
      </c>
      <c r="J20" s="29">
        <f t="shared" si="3"/>
        <v>839</v>
      </c>
      <c r="K20" s="29">
        <f t="shared" si="3"/>
        <v>177</v>
      </c>
      <c r="L20" s="29">
        <f t="shared" si="3"/>
        <v>5208</v>
      </c>
      <c r="M20" s="29">
        <f t="shared" si="3"/>
        <v>4987</v>
      </c>
      <c r="N20" s="29">
        <f t="shared" si="3"/>
        <v>4232</v>
      </c>
      <c r="O20" s="30">
        <f t="shared" si="3"/>
        <v>4135</v>
      </c>
    </row>
    <row r="21" spans="1:15" ht="15" thickTop="1" x14ac:dyDescent="0.3"/>
    <row r="22" spans="1:15" x14ac:dyDescent="0.3">
      <c r="J22" s="57" t="s">
        <v>104</v>
      </c>
      <c r="K22" s="57"/>
      <c r="L22" s="57"/>
      <c r="M22" s="57"/>
      <c r="N22" s="57"/>
      <c r="O22" s="57"/>
    </row>
    <row r="23" spans="1:15" x14ac:dyDescent="0.3">
      <c r="J23" s="57" t="s">
        <v>20</v>
      </c>
      <c r="K23" s="57"/>
      <c r="L23" s="57"/>
      <c r="M23" s="57"/>
      <c r="N23" s="57"/>
      <c r="O23" s="57"/>
    </row>
    <row r="28" spans="1:15" x14ac:dyDescent="0.3">
      <c r="J28" s="59" t="s">
        <v>103</v>
      </c>
      <c r="K28" s="59"/>
      <c r="L28" s="59"/>
      <c r="M28" s="59"/>
      <c r="N28" s="59"/>
      <c r="O28" s="59"/>
    </row>
    <row r="29" spans="1:15" x14ac:dyDescent="0.3">
      <c r="J29" s="57" t="s">
        <v>101</v>
      </c>
      <c r="K29" s="57"/>
      <c r="L29" s="57"/>
      <c r="M29" s="57"/>
      <c r="N29" s="57"/>
      <c r="O29" s="57"/>
    </row>
  </sheetData>
  <mergeCells count="17">
    <mergeCell ref="A6:E6"/>
    <mergeCell ref="A3:O3"/>
    <mergeCell ref="J22:O22"/>
    <mergeCell ref="J23:O23"/>
    <mergeCell ref="J28:O28"/>
    <mergeCell ref="J29:O29"/>
    <mergeCell ref="F6:O6"/>
    <mergeCell ref="F7:G7"/>
    <mergeCell ref="H7:I7"/>
    <mergeCell ref="J7:K7"/>
    <mergeCell ref="L7:M7"/>
    <mergeCell ref="N7:O7"/>
    <mergeCell ref="A7:A8"/>
    <mergeCell ref="B7:B8"/>
    <mergeCell ref="C7:C8"/>
    <mergeCell ref="D7:D8"/>
    <mergeCell ref="E7:E8"/>
  </mergeCells>
  <pageMargins left="0.7" right="0.7" top="0.75" bottom="0.75" header="0.3" footer="0.3"/>
  <pageSetup paperSize="9" scale="8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7"/>
  <sheetViews>
    <sheetView workbookViewId="0">
      <selection activeCell="I24" sqref="A1:I24"/>
    </sheetView>
  </sheetViews>
  <sheetFormatPr defaultRowHeight="14.4" x14ac:dyDescent="0.3"/>
  <cols>
    <col min="1" max="1" width="9.109375" style="1"/>
    <col min="2" max="2" width="40.5546875" customWidth="1"/>
    <col min="3" max="8" width="13.44140625" customWidth="1"/>
  </cols>
  <sheetData>
    <row r="2" spans="1:8" ht="17.399999999999999" x14ac:dyDescent="0.3">
      <c r="A2" s="105" t="s">
        <v>69</v>
      </c>
      <c r="B2" s="105"/>
      <c r="C2" s="105"/>
      <c r="D2" s="105"/>
      <c r="E2" s="105"/>
      <c r="F2" s="105"/>
      <c r="G2" s="105"/>
      <c r="H2" s="105"/>
    </row>
    <row r="4" spans="1:8" ht="15.6" x14ac:dyDescent="0.3">
      <c r="A4" s="103" t="s">
        <v>0</v>
      </c>
      <c r="B4" s="102" t="s">
        <v>70</v>
      </c>
      <c r="C4" s="81" t="s">
        <v>66</v>
      </c>
      <c r="D4" s="104" t="s">
        <v>13</v>
      </c>
      <c r="E4" s="104"/>
      <c r="F4" s="104"/>
      <c r="G4" s="104"/>
      <c r="H4" s="104"/>
    </row>
    <row r="5" spans="1:8" ht="30" customHeight="1" x14ac:dyDescent="0.3">
      <c r="A5" s="103"/>
      <c r="B5" s="102"/>
      <c r="C5" s="83"/>
      <c r="D5" s="44" t="s">
        <v>14</v>
      </c>
      <c r="E5" s="6" t="s">
        <v>15</v>
      </c>
      <c r="F5" s="44" t="s">
        <v>16</v>
      </c>
      <c r="G5" s="44" t="s">
        <v>17</v>
      </c>
      <c r="H5" s="44" t="s">
        <v>18</v>
      </c>
    </row>
    <row r="6" spans="1:8" ht="30" customHeight="1" x14ac:dyDescent="0.3">
      <c r="A6" s="7">
        <v>1</v>
      </c>
      <c r="B6" s="45" t="s">
        <v>63</v>
      </c>
      <c r="C6" s="7" t="s">
        <v>67</v>
      </c>
      <c r="D6" s="7" t="s">
        <v>68</v>
      </c>
      <c r="E6" s="7" t="s">
        <v>68</v>
      </c>
      <c r="F6" s="7" t="s">
        <v>68</v>
      </c>
      <c r="G6" s="7" t="s">
        <v>68</v>
      </c>
      <c r="H6" s="7" t="s">
        <v>68</v>
      </c>
    </row>
    <row r="7" spans="1:8" ht="30" customHeight="1" x14ac:dyDescent="0.3">
      <c r="A7" s="7">
        <v>2</v>
      </c>
      <c r="B7" s="45" t="s">
        <v>64</v>
      </c>
      <c r="C7" s="7" t="s">
        <v>68</v>
      </c>
      <c r="D7" s="7" t="s">
        <v>68</v>
      </c>
      <c r="E7" s="7" t="s">
        <v>68</v>
      </c>
      <c r="F7" s="7" t="s">
        <v>68</v>
      </c>
      <c r="G7" s="7" t="s">
        <v>68</v>
      </c>
      <c r="H7" s="7" t="s">
        <v>68</v>
      </c>
    </row>
    <row r="8" spans="1:8" ht="30" customHeight="1" x14ac:dyDescent="0.3">
      <c r="A8" s="7">
        <v>3</v>
      </c>
      <c r="B8" s="45" t="s">
        <v>65</v>
      </c>
      <c r="C8" s="7" t="s">
        <v>68</v>
      </c>
      <c r="D8" s="7" t="s">
        <v>68</v>
      </c>
      <c r="E8" s="7" t="s">
        <v>68</v>
      </c>
      <c r="F8" s="7" t="s">
        <v>68</v>
      </c>
      <c r="G8" s="7" t="s">
        <v>68</v>
      </c>
      <c r="H8" s="7" t="s">
        <v>68</v>
      </c>
    </row>
    <row r="10" spans="1:8" x14ac:dyDescent="0.3">
      <c r="E10" s="79" t="s">
        <v>102</v>
      </c>
      <c r="F10" s="79"/>
      <c r="G10" s="79"/>
      <c r="H10" s="79"/>
    </row>
    <row r="11" spans="1:8" x14ac:dyDescent="0.3">
      <c r="E11" s="79" t="s">
        <v>20</v>
      </c>
      <c r="F11" s="79"/>
      <c r="G11" s="79"/>
      <c r="H11" s="79"/>
    </row>
    <row r="16" spans="1:8" x14ac:dyDescent="0.3">
      <c r="E16" s="80" t="s">
        <v>103</v>
      </c>
      <c r="F16" s="80"/>
      <c r="G16" s="80"/>
      <c r="H16" s="80"/>
    </row>
    <row r="17" spans="5:8" x14ac:dyDescent="0.3">
      <c r="E17" s="79" t="s">
        <v>101</v>
      </c>
      <c r="F17" s="79"/>
      <c r="G17" s="79"/>
      <c r="H17" s="79"/>
    </row>
  </sheetData>
  <mergeCells count="9">
    <mergeCell ref="A2:H2"/>
    <mergeCell ref="E10:H10"/>
    <mergeCell ref="E11:H11"/>
    <mergeCell ref="E16:H16"/>
    <mergeCell ref="E17:H17"/>
    <mergeCell ref="B4:B5"/>
    <mergeCell ref="A4:A5"/>
    <mergeCell ref="D4:H4"/>
    <mergeCell ref="C4:C5"/>
  </mergeCells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27"/>
  <sheetViews>
    <sheetView topLeftCell="J1" workbookViewId="0">
      <selection activeCell="I33" sqref="I33"/>
    </sheetView>
  </sheetViews>
  <sheetFormatPr defaultRowHeight="14.4" x14ac:dyDescent="0.3"/>
  <cols>
    <col min="1" max="1" width="4.6640625" customWidth="1"/>
    <col min="2" max="2" width="11.44140625" customWidth="1"/>
    <col min="3" max="3" width="18.88671875" bestFit="1" customWidth="1"/>
    <col min="4" max="4" width="11.88671875" bestFit="1" customWidth="1"/>
    <col min="5" max="5" width="14.33203125" bestFit="1" customWidth="1"/>
    <col min="6" max="6" width="5.109375" bestFit="1" customWidth="1"/>
    <col min="7" max="7" width="12.109375" bestFit="1" customWidth="1"/>
    <col min="8" max="8" width="11.109375" bestFit="1" customWidth="1"/>
    <col min="9" max="9" width="22.5546875" customWidth="1"/>
    <col min="10" max="10" width="16" customWidth="1"/>
    <col min="11" max="11" width="5.109375" bestFit="1" customWidth="1"/>
    <col min="12" max="12" width="12.109375" bestFit="1" customWidth="1"/>
    <col min="13" max="13" width="11.109375" bestFit="1" customWidth="1"/>
    <col min="14" max="14" width="17.88671875" bestFit="1" customWidth="1"/>
  </cols>
  <sheetData>
    <row r="2" spans="1:15" ht="17.399999999999999" x14ac:dyDescent="0.35">
      <c r="A2" s="68" t="s">
        <v>81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4" spans="1:15" s="1" customFormat="1" ht="30" customHeight="1" x14ac:dyDescent="0.3">
      <c r="A4" s="6" t="s">
        <v>0</v>
      </c>
      <c r="B4" s="6" t="s">
        <v>71</v>
      </c>
      <c r="C4" s="6" t="s">
        <v>72</v>
      </c>
      <c r="D4" s="6" t="s">
        <v>73</v>
      </c>
      <c r="E4" s="6" t="s">
        <v>50</v>
      </c>
      <c r="F4" s="6" t="s">
        <v>74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74</v>
      </c>
      <c r="L4" s="6" t="s">
        <v>75</v>
      </c>
      <c r="M4" s="6" t="s">
        <v>76</v>
      </c>
      <c r="N4" s="6" t="s">
        <v>79</v>
      </c>
      <c r="O4" s="6" t="s">
        <v>80</v>
      </c>
    </row>
    <row r="5" spans="1:15" ht="30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30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30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30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30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30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30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30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30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30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30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30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30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30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30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1" spans="1:15" x14ac:dyDescent="0.3">
      <c r="L21" s="79" t="s">
        <v>100</v>
      </c>
      <c r="M21" s="79"/>
      <c r="N21" s="79"/>
      <c r="O21" s="79"/>
    </row>
    <row r="22" spans="1:15" x14ac:dyDescent="0.3">
      <c r="L22" s="79" t="s">
        <v>20</v>
      </c>
      <c r="M22" s="79"/>
      <c r="N22" s="79"/>
      <c r="O22" s="79"/>
    </row>
    <row r="26" spans="1:15" x14ac:dyDescent="0.3">
      <c r="L26" s="80" t="s">
        <v>97</v>
      </c>
      <c r="M26" s="80"/>
      <c r="N26" s="80"/>
      <c r="O26" s="80"/>
    </row>
    <row r="27" spans="1:15" x14ac:dyDescent="0.3">
      <c r="L27" s="79" t="s">
        <v>101</v>
      </c>
      <c r="M27" s="79"/>
      <c r="N27" s="79"/>
      <c r="O27" s="79"/>
    </row>
  </sheetData>
  <mergeCells count="5">
    <mergeCell ref="A2:O2"/>
    <mergeCell ref="L21:O21"/>
    <mergeCell ref="L22:O22"/>
    <mergeCell ref="L26:O26"/>
    <mergeCell ref="L27:O27"/>
  </mergeCells>
  <pageMargins left="0.7" right="0.7" top="0.75" bottom="0.75" header="0.3" footer="0.3"/>
  <pageSetup paperSize="258" scale="8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9"/>
  <sheetViews>
    <sheetView tabSelected="1" workbookViewId="0">
      <selection activeCell="G15" sqref="G15"/>
    </sheetView>
  </sheetViews>
  <sheetFormatPr defaultRowHeight="14.4" x14ac:dyDescent="0.3"/>
  <cols>
    <col min="1" max="1" width="6.44140625" style="1" customWidth="1"/>
    <col min="2" max="2" width="23.6640625" style="1" customWidth="1"/>
    <col min="3" max="4" width="9.44140625" style="1" customWidth="1"/>
    <col min="5" max="5" width="37.5546875" style="1" customWidth="1"/>
  </cols>
  <sheetData>
    <row r="2" spans="1:5" x14ac:dyDescent="0.3">
      <c r="A2" s="59" t="s">
        <v>86</v>
      </c>
      <c r="B2" s="59"/>
      <c r="C2" s="59"/>
      <c r="D2" s="59"/>
      <c r="E2" s="59"/>
    </row>
    <row r="3" spans="1:5" x14ac:dyDescent="0.3">
      <c r="A3" s="3"/>
      <c r="B3" s="3"/>
      <c r="C3" s="3"/>
      <c r="D3" s="3"/>
      <c r="E3" s="3"/>
    </row>
    <row r="4" spans="1:5" ht="20.100000000000001" customHeight="1" x14ac:dyDescent="0.3">
      <c r="A4" s="60" t="s">
        <v>0</v>
      </c>
      <c r="B4" s="60" t="s">
        <v>82</v>
      </c>
      <c r="C4" s="60" t="s">
        <v>50</v>
      </c>
      <c r="D4" s="60"/>
      <c r="E4" s="60" t="s">
        <v>83</v>
      </c>
    </row>
    <row r="5" spans="1:5" ht="20.100000000000001" customHeight="1" x14ac:dyDescent="0.3">
      <c r="A5" s="60"/>
      <c r="B5" s="60"/>
      <c r="C5" s="6" t="s">
        <v>84</v>
      </c>
      <c r="D5" s="6" t="s">
        <v>85</v>
      </c>
      <c r="E5" s="60"/>
    </row>
    <row r="6" spans="1:5" ht="35.1" customHeight="1" x14ac:dyDescent="0.3">
      <c r="A6" s="7">
        <v>1</v>
      </c>
      <c r="B6" s="45" t="s">
        <v>87</v>
      </c>
      <c r="C6" s="46" t="s">
        <v>88</v>
      </c>
      <c r="D6" s="7"/>
      <c r="E6" s="7" t="s">
        <v>89</v>
      </c>
    </row>
    <row r="7" spans="1:5" ht="35.1" customHeight="1" x14ac:dyDescent="0.3">
      <c r="A7" s="7">
        <v>2</v>
      </c>
      <c r="B7" s="45" t="s">
        <v>90</v>
      </c>
      <c r="C7" s="7"/>
      <c r="D7" s="46" t="s">
        <v>88</v>
      </c>
      <c r="E7" s="7" t="s">
        <v>92</v>
      </c>
    </row>
    <row r="8" spans="1:5" ht="35.1" customHeight="1" x14ac:dyDescent="0.3">
      <c r="A8" s="7">
        <v>3</v>
      </c>
      <c r="B8" s="45" t="s">
        <v>91</v>
      </c>
      <c r="C8" s="46" t="s">
        <v>88</v>
      </c>
      <c r="D8" s="7"/>
      <c r="E8" s="7" t="s">
        <v>93</v>
      </c>
    </row>
    <row r="9" spans="1:5" ht="35.1" customHeight="1" x14ac:dyDescent="0.3">
      <c r="A9" s="7">
        <v>4</v>
      </c>
      <c r="B9" s="45" t="s">
        <v>94</v>
      </c>
      <c r="C9" s="7"/>
      <c r="D9" s="46" t="s">
        <v>88</v>
      </c>
      <c r="E9" s="7" t="s">
        <v>95</v>
      </c>
    </row>
    <row r="10" spans="1:5" ht="35.1" customHeight="1" x14ac:dyDescent="0.3">
      <c r="A10" s="7">
        <v>5</v>
      </c>
      <c r="B10" s="45" t="s">
        <v>107</v>
      </c>
      <c r="C10" s="46" t="s">
        <v>88</v>
      </c>
      <c r="D10" s="46"/>
      <c r="E10" s="7" t="s">
        <v>99</v>
      </c>
    </row>
    <row r="11" spans="1:5" ht="15" customHeight="1" x14ac:dyDescent="0.3">
      <c r="B11" s="21"/>
      <c r="C11" s="47"/>
      <c r="D11" s="47"/>
    </row>
    <row r="12" spans="1:5" x14ac:dyDescent="0.3">
      <c r="B12" s="21"/>
      <c r="D12" s="57" t="s">
        <v>96</v>
      </c>
      <c r="E12" s="57"/>
    </row>
    <row r="13" spans="1:5" x14ac:dyDescent="0.3">
      <c r="B13" s="21"/>
      <c r="D13" s="57" t="s">
        <v>20</v>
      </c>
      <c r="E13" s="57"/>
    </row>
    <row r="14" spans="1:5" x14ac:dyDescent="0.3">
      <c r="B14" s="21"/>
    </row>
    <row r="15" spans="1:5" x14ac:dyDescent="0.3">
      <c r="B15" s="21"/>
    </row>
    <row r="16" spans="1:5" x14ac:dyDescent="0.3">
      <c r="B16" s="21"/>
    </row>
    <row r="17" spans="2:5" x14ac:dyDescent="0.3">
      <c r="B17" s="21"/>
    </row>
    <row r="18" spans="2:5" x14ac:dyDescent="0.3">
      <c r="B18" s="21"/>
      <c r="D18" s="58" t="s">
        <v>97</v>
      </c>
      <c r="E18" s="59"/>
    </row>
    <row r="19" spans="2:5" x14ac:dyDescent="0.3">
      <c r="B19" s="21"/>
      <c r="D19" s="57" t="s">
        <v>98</v>
      </c>
      <c r="E19" s="57"/>
    </row>
  </sheetData>
  <mergeCells count="9">
    <mergeCell ref="A4:A5"/>
    <mergeCell ref="E4:E5"/>
    <mergeCell ref="A2:E2"/>
    <mergeCell ref="D12:E12"/>
    <mergeCell ref="D13:E13"/>
    <mergeCell ref="D18:E18"/>
    <mergeCell ref="D19:E19"/>
    <mergeCell ref="C4:D4"/>
    <mergeCell ref="B4:B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Mutasi</vt:lpstr>
      <vt:lpstr>MENURUT UMUR</vt:lpstr>
      <vt:lpstr>MATA PENCAHARIAN</vt:lpstr>
      <vt:lpstr>SARANA DAN PRASARANA</vt:lpstr>
      <vt:lpstr>DATA KASUS</vt:lpstr>
      <vt:lpstr>DATA PENGELOLA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 asus</cp:lastModifiedBy>
  <cp:lastPrinted>2013-01-01T09:09:07Z</cp:lastPrinted>
  <dcterms:created xsi:type="dcterms:W3CDTF">2013-01-01T06:32:19Z</dcterms:created>
  <dcterms:modified xsi:type="dcterms:W3CDTF">2026-08-21T18:26:58Z</dcterms:modified>
</cp:coreProperties>
</file>